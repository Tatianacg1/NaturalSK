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Presupuesto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1F4E79"/>
      <sz val="14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3" borderId="0" pivotButton="0" quotePrefix="0" xfId="0"/>
    <xf numFmtId="164" fontId="4" fillId="0" borderId="1" applyAlignment="1" pivotButton="0" quotePrefix="0" xfId="0">
      <alignment horizontal="right" vertical="center"/>
    </xf>
    <xf numFmtId="0" fontId="3" fillId="0" borderId="2" pivotButton="0" quotePrefix="0" xfId="0"/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4" customWidth="1" min="3" max="3"/>
    <col width="55" customWidth="1" min="4" max="4"/>
    <col width="22" customWidth="1" min="5" max="5"/>
    <col width="29" customWidth="1" min="6" max="6"/>
    <col width="14" customWidth="1" min="7" max="7"/>
    <col width="22" customWidth="1" min="8" max="8"/>
    <col width="14" customWidth="1" min="9" max="9"/>
  </cols>
  <sheetData>
    <row r="1">
      <c r="A1" s="1" t="inlineStr">
        <is>
          <t>Cuadro de Mando Financiero Personal</t>
        </is>
      </c>
    </row>
    <row r="2">
      <c r="A2" s="2" t="inlineStr">
        <is>
          <t>Análisis basado en principios de finanzas estructuradas (Regla 50/30/20)</t>
        </is>
      </c>
    </row>
    <row r="3"/>
    <row r="4">
      <c r="B4" s="3" t="inlineStr">
        <is>
          <t>Ingresos Reales</t>
        </is>
      </c>
      <c r="D4" s="3" t="inlineStr">
        <is>
          <t>Gastos Totales Reales</t>
        </is>
      </c>
      <c r="F4" s="3" t="inlineStr">
        <is>
          <t>Ahorro Total Real</t>
        </is>
      </c>
      <c r="H4" s="3" t="inlineStr">
        <is>
          <t>Capacidad de Ahorro</t>
        </is>
      </c>
    </row>
    <row r="5">
      <c r="B5" s="4">
        <f>'Presupuesto Mensual'!D8</f>
        <v/>
      </c>
      <c r="D5" s="4">
        <f>'Presupuesto Mensual'!D15+'Presupuesto Mensual'!D22</f>
        <v/>
      </c>
      <c r="F5" s="4">
        <f>'Presupuesto Mensual'!D27</f>
        <v/>
      </c>
      <c r="H5" s="5">
        <f>(B5-D5)/B5</f>
        <v/>
      </c>
    </row>
    <row r="6"/>
    <row r="7"/>
    <row r="8"/>
    <row r="9">
      <c r="A9" s="6" t="inlineStr">
        <is>
          <t>Evaluación de Salud Financiera (Modelo 50/30/20)</t>
        </is>
      </c>
    </row>
    <row r="10"/>
    <row r="11">
      <c r="A11" s="7" t="inlineStr">
        <is>
          <t>Pilar de Finanzas</t>
        </is>
      </c>
      <c r="B11" s="7" t="inlineStr">
        <is>
          <t>Regla Teórica</t>
        </is>
      </c>
      <c r="C11" s="7" t="inlineStr">
        <is>
          <t>Tu Presupuesto %</t>
        </is>
      </c>
      <c r="D11" s="7" t="inlineStr">
        <is>
          <t>Tu Real %</t>
        </is>
      </c>
      <c r="E11" s="7" t="inlineStr">
        <is>
          <t>Estado del Pilar</t>
        </is>
      </c>
    </row>
    <row r="12">
      <c r="A12" s="8" t="inlineStr">
        <is>
          <t>Gastos Fijos (Necesidades)</t>
        </is>
      </c>
      <c r="B12" s="9" t="n">
        <v>0.5</v>
      </c>
      <c r="C12" s="9">
        <f>'Presupuesto Mensual'!C15/'Presupuesto Mensual'!C8</f>
        <v/>
      </c>
      <c r="D12" s="9">
        <f>'Presupuesto Mensual'!D15/'Presupuesto Mensual'!D8</f>
        <v/>
      </c>
      <c r="E12" s="10">
        <f>IF(D12&lt;=B12,"Saludable","Optimizar Gasto")</f>
        <v/>
      </c>
    </row>
    <row r="13">
      <c r="A13" s="8" t="inlineStr">
        <is>
          <t>Gastos Variables (Deseos)</t>
        </is>
      </c>
      <c r="B13" s="9" t="n">
        <v>0.3</v>
      </c>
      <c r="C13" s="9">
        <f>'Presupuesto Mensual'!C22/'Presupuesto Mensual'!C8</f>
        <v/>
      </c>
      <c r="D13" s="9">
        <f>'Presupuesto Mensual'!D22/'Presupuesto Mensual'!D8</f>
        <v/>
      </c>
      <c r="E13" s="10">
        <f>IF(D13&lt;=B13,"Saludable","Ajustar Caprichos")</f>
        <v/>
      </c>
    </row>
    <row r="14">
      <c r="A14" s="8" t="inlineStr">
        <is>
          <t>Ahorro e Inversión (Futuro)</t>
        </is>
      </c>
      <c r="B14" s="9" t="n">
        <v>0.2</v>
      </c>
      <c r="C14" s="9">
        <f>'Presupuesto Mensual'!C27/'Presupuesto Mensual'!C8</f>
        <v/>
      </c>
      <c r="D14" s="9">
        <f>'Presupuesto Mensual'!D27/'Presupuesto Mensual'!D8</f>
        <v/>
      </c>
      <c r="E14" s="10">
        <f>IF(D14&gt;=B14,"Excelente","Incrementar Ahorro")</f>
        <v/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Planificador de Presupuesto Mensual Detallado</t>
        </is>
      </c>
    </row>
    <row r="2"/>
    <row r="3">
      <c r="A3" s="7" t="inlineStr">
        <is>
          <t>Categoría</t>
        </is>
      </c>
      <c r="B3" s="7" t="inlineStr">
        <is>
          <t>Concepto / Descripción</t>
        </is>
      </c>
      <c r="C3" s="7" t="inlineStr">
        <is>
          <t>Presupuestado</t>
        </is>
      </c>
      <c r="D3" s="7" t="inlineStr">
        <is>
          <t>Real</t>
        </is>
      </c>
      <c r="E3" s="7" t="inlineStr">
        <is>
          <t>Desviación</t>
        </is>
      </c>
      <c r="F3" s="7" t="inlineStr">
        <is>
          <t>% Ejecución</t>
        </is>
      </c>
    </row>
    <row r="4">
      <c r="A4" s="11" t="inlineStr">
        <is>
          <t>INGRESOS</t>
        </is>
      </c>
    </row>
    <row r="5">
      <c r="A5" s="8" t="inlineStr">
        <is>
          <t>Ingresos Principales</t>
        </is>
      </c>
      <c r="B5" s="8" t="inlineStr">
        <is>
          <t>Salario Neto</t>
        </is>
      </c>
      <c r="C5" s="12" t="n">
        <v>3500</v>
      </c>
      <c r="D5" s="12" t="n">
        <v>3500</v>
      </c>
      <c r="E5" s="12">
        <f>D5-C5</f>
        <v/>
      </c>
      <c r="F5" s="9">
        <f>D5/C5</f>
        <v/>
      </c>
    </row>
    <row r="6">
      <c r="A6" s="8" t="inlineStr">
        <is>
          <t>Ingresos Secundarios</t>
        </is>
      </c>
      <c r="B6" s="8" t="inlineStr">
        <is>
          <t>Freelance / Consultoría</t>
        </is>
      </c>
      <c r="C6" s="12" t="n">
        <v>500</v>
      </c>
      <c r="D6" s="12" t="n">
        <v>500</v>
      </c>
      <c r="E6" s="12">
        <f>D6-C6</f>
        <v/>
      </c>
      <c r="F6" s="9">
        <f>D6/C6</f>
        <v/>
      </c>
    </row>
    <row r="7">
      <c r="A7" s="8" t="inlineStr">
        <is>
          <t>Otros Ingresos</t>
        </is>
      </c>
      <c r="B7" s="8" t="inlineStr">
        <is>
          <t>Inversiones / Rendimientos</t>
        </is>
      </c>
      <c r="C7" s="12" t="n">
        <v>100</v>
      </c>
      <c r="D7" s="12" t="n">
        <v>100</v>
      </c>
      <c r="E7" s="12">
        <f>D7-C7</f>
        <v/>
      </c>
      <c r="F7" s="9">
        <f>D7/C7</f>
        <v/>
      </c>
    </row>
    <row r="8">
      <c r="A8" s="13" t="inlineStr">
        <is>
          <t>Total INGRESOS</t>
        </is>
      </c>
      <c r="B8" s="13" t="n"/>
      <c r="C8" s="14">
        <f>SUM(C5:C7)</f>
        <v/>
      </c>
      <c r="D8" s="14">
        <f>SUM(D5:D7)</f>
        <v/>
      </c>
      <c r="E8" s="14">
        <f>D8-C8</f>
        <v/>
      </c>
      <c r="F8" s="15">
        <f>D8/C8</f>
        <v/>
      </c>
    </row>
    <row r="9"/>
    <row r="10">
      <c r="A10" s="11" t="inlineStr">
        <is>
          <t>GASTOS FIJOS (Necesidades - 50% recomendado)</t>
        </is>
      </c>
    </row>
    <row r="11">
      <c r="A11" s="8" t="inlineStr">
        <is>
          <t>Vivienda</t>
        </is>
      </c>
      <c r="B11" s="8" t="inlineStr">
        <is>
          <t>Alquiler / Hipoteca</t>
        </is>
      </c>
      <c r="C11" s="12" t="n">
        <v>1200</v>
      </c>
      <c r="D11" s="12" t="n">
        <v>1176</v>
      </c>
      <c r="E11" s="12">
        <f>C11-D11</f>
        <v/>
      </c>
      <c r="F11" s="9">
        <f>D11/C11</f>
        <v/>
      </c>
    </row>
    <row r="12">
      <c r="A12" s="8" t="inlineStr">
        <is>
          <t>Vivienda</t>
        </is>
      </c>
      <c r="B12" s="8" t="inlineStr">
        <is>
          <t>Servicios (Agua, Luz, Gas, Internet)</t>
        </is>
      </c>
      <c r="C12" s="12" t="n">
        <v>180</v>
      </c>
      <c r="D12" s="12" t="n">
        <v>176.4</v>
      </c>
      <c r="E12" s="12">
        <f>C12-D12</f>
        <v/>
      </c>
      <c r="F12" s="9">
        <f>D12/C12</f>
        <v/>
      </c>
    </row>
    <row r="13">
      <c r="A13" s="8" t="inlineStr">
        <is>
          <t>Seguros</t>
        </is>
      </c>
      <c r="B13" s="8" t="inlineStr">
        <is>
          <t>Seguro Médico / Auto</t>
        </is>
      </c>
      <c r="C13" s="12" t="n">
        <v>150</v>
      </c>
      <c r="D13" s="12" t="n">
        <v>147</v>
      </c>
      <c r="E13" s="12">
        <f>C13-D13</f>
        <v/>
      </c>
      <c r="F13" s="9">
        <f>D13/C13</f>
        <v/>
      </c>
    </row>
    <row r="14">
      <c r="A14" s="8" t="inlineStr">
        <is>
          <t>Finanzas</t>
        </is>
      </c>
      <c r="B14" s="8" t="inlineStr">
        <is>
          <t>Pago de Deudas / Préstamos</t>
        </is>
      </c>
      <c r="C14" s="12" t="n">
        <v>200</v>
      </c>
      <c r="D14" s="12" t="n">
        <v>196</v>
      </c>
      <c r="E14" s="12">
        <f>C14-D14</f>
        <v/>
      </c>
      <c r="F14" s="9">
        <f>D14/C14</f>
        <v/>
      </c>
    </row>
    <row r="15">
      <c r="A15" s="8" t="inlineStr">
        <is>
          <t>Transporte</t>
        </is>
      </c>
      <c r="B15" s="8" t="inlineStr">
        <is>
          <t>Combustible / Transporte Público</t>
        </is>
      </c>
      <c r="C15" s="12" t="n">
        <v>120</v>
      </c>
      <c r="D15" s="12" t="n">
        <v>117.6</v>
      </c>
      <c r="E15" s="12">
        <f>C15-D15</f>
        <v/>
      </c>
      <c r="F15" s="9">
        <f>D15/C15</f>
        <v/>
      </c>
    </row>
    <row r="16">
      <c r="A16" s="13" t="inlineStr">
        <is>
          <t>Total GASTOS</t>
        </is>
      </c>
      <c r="B16" s="13" t="n"/>
      <c r="C16" s="14">
        <f>SUM(C11:C15)</f>
        <v/>
      </c>
      <c r="D16" s="14">
        <f>SUM(D11:D15)</f>
        <v/>
      </c>
      <c r="E16" s="14">
        <f>C16-D16</f>
        <v/>
      </c>
      <c r="F16" s="15">
        <f>D16/C16</f>
        <v/>
      </c>
    </row>
    <row r="17"/>
    <row r="18">
      <c r="A18" s="11" t="inlineStr">
        <is>
          <t>GASTOS VARIABLES (Deseos - 30% recomendado)</t>
        </is>
      </c>
    </row>
    <row r="19">
      <c r="A19" s="8" t="inlineStr">
        <is>
          <t>Alimentación</t>
        </is>
      </c>
      <c r="B19" s="8" t="inlineStr">
        <is>
          <t>Supermercado</t>
        </is>
      </c>
      <c r="C19" s="12" t="n">
        <v>400</v>
      </c>
      <c r="D19" s="12" t="n">
        <v>392</v>
      </c>
      <c r="E19" s="12">
        <f>C19-D19</f>
        <v/>
      </c>
      <c r="F19" s="9">
        <f>D19/C19</f>
        <v/>
      </c>
    </row>
    <row r="20">
      <c r="A20" s="8" t="inlineStr">
        <is>
          <t>Personal</t>
        </is>
      </c>
      <c r="B20" s="8" t="inlineStr">
        <is>
          <t>Restaurantes y Ocio</t>
        </is>
      </c>
      <c r="C20" s="12" t="n">
        <v>250</v>
      </c>
      <c r="D20" s="12" t="n">
        <v>245</v>
      </c>
      <c r="E20" s="12">
        <f>C20-D20</f>
        <v/>
      </c>
      <c r="F20" s="9">
        <f>D20/C20</f>
        <v/>
      </c>
    </row>
    <row r="21">
      <c r="A21" s="8" t="inlineStr">
        <is>
          <t>Personal</t>
        </is>
      </c>
      <c r="B21" s="8" t="inlineStr">
        <is>
          <t>Ropa y Cuidado Personal</t>
        </is>
      </c>
      <c r="C21" s="12" t="n">
        <v>100</v>
      </c>
      <c r="D21" s="12" t="n">
        <v>98</v>
      </c>
      <c r="E21" s="12">
        <f>C21-D21</f>
        <v/>
      </c>
      <c r="F21" s="9">
        <f>D21/C21</f>
        <v/>
      </c>
    </row>
    <row r="22">
      <c r="A22" s="8" t="inlineStr">
        <is>
          <t>Educación</t>
        </is>
      </c>
      <c r="B22" s="8" t="inlineStr">
        <is>
          <t>Suscripciones y Cursos</t>
        </is>
      </c>
      <c r="C22" s="12" t="n">
        <v>50</v>
      </c>
      <c r="D22" s="12" t="n">
        <v>49</v>
      </c>
      <c r="E22" s="12">
        <f>C22-D22</f>
        <v/>
      </c>
      <c r="F22" s="9">
        <f>D22/C22</f>
        <v/>
      </c>
    </row>
    <row r="23">
      <c r="A23" s="8" t="inlineStr">
        <is>
          <t>Otros Gastos</t>
        </is>
      </c>
      <c r="B23" s="8" t="inlineStr">
        <is>
          <t>Imprevistos menores</t>
        </is>
      </c>
      <c r="C23" s="12" t="n">
        <v>100</v>
      </c>
      <c r="D23" s="12" t="n">
        <v>98</v>
      </c>
      <c r="E23" s="12">
        <f>C23-D23</f>
        <v/>
      </c>
      <c r="F23" s="9">
        <f>D23/C23</f>
        <v/>
      </c>
    </row>
    <row r="24">
      <c r="A24" s="13" t="inlineStr">
        <is>
          <t>Total GASTOS</t>
        </is>
      </c>
      <c r="B24" s="13" t="n"/>
      <c r="C24" s="14">
        <f>SUM(C19:C23)</f>
        <v/>
      </c>
      <c r="D24" s="14">
        <f>SUM(D19:D23)</f>
        <v/>
      </c>
      <c r="E24" s="14">
        <f>C24-D24</f>
        <v/>
      </c>
      <c r="F24" s="15">
        <f>D24/C24</f>
        <v/>
      </c>
    </row>
    <row r="25"/>
    <row r="26">
      <c r="A26" s="11" t="inlineStr">
        <is>
          <t>AHORRO E INVERSIÓN (Futuro - 20% recomendado)</t>
        </is>
      </c>
    </row>
    <row r="27">
      <c r="A27" s="8" t="inlineStr">
        <is>
          <t>Ahorro</t>
        </is>
      </c>
      <c r="B27" s="8" t="inlineStr">
        <is>
          <t>Fondo de Emergencia</t>
        </is>
      </c>
      <c r="C27" s="12" t="n">
        <v>300</v>
      </c>
      <c r="D27" s="12" t="n">
        <v>294</v>
      </c>
      <c r="E27" s="12">
        <f>C27-D27</f>
        <v/>
      </c>
      <c r="F27" s="9">
        <f>D27/C27</f>
        <v/>
      </c>
    </row>
    <row r="28">
      <c r="A28" s="8" t="inlineStr">
        <is>
          <t>Inversión</t>
        </is>
      </c>
      <c r="B28" s="8" t="inlineStr">
        <is>
          <t>Portafolio de Inversión (Acciones/ETF)</t>
        </is>
      </c>
      <c r="C28" s="12" t="n">
        <v>400</v>
      </c>
      <c r="D28" s="12" t="n">
        <v>392</v>
      </c>
      <c r="E28" s="12">
        <f>C28-D28</f>
        <v/>
      </c>
      <c r="F28" s="9">
        <f>D28/C28</f>
        <v/>
      </c>
    </row>
    <row r="29">
      <c r="A29" s="8" t="inlineStr">
        <is>
          <t>Ahorro</t>
        </is>
      </c>
      <c r="B29" s="8" t="inlineStr">
        <is>
          <t>Plan de Retiro</t>
        </is>
      </c>
      <c r="C29" s="12" t="n">
        <v>150</v>
      </c>
      <c r="D29" s="12" t="n">
        <v>147</v>
      </c>
      <c r="E29" s="12">
        <f>C29-D29</f>
        <v/>
      </c>
      <c r="F29" s="9">
        <f>D29/C29</f>
        <v/>
      </c>
    </row>
    <row r="30">
      <c r="A30" s="13" t="inlineStr">
        <is>
          <t>Total AHORRO</t>
        </is>
      </c>
      <c r="B30" s="13" t="n"/>
      <c r="C30" s="14">
        <f>SUM(C27:C29)</f>
        <v/>
      </c>
      <c r="D30" s="14">
        <f>SUM(D27:D29)</f>
        <v/>
      </c>
      <c r="E30" s="14">
        <f>C30-D30</f>
        <v/>
      </c>
      <c r="F30" s="15">
        <f>D30/C30</f>
        <v/>
      </c>
    </row>
    <row r="31"/>
    <row r="32">
      <c r="A32" s="11" t="inlineStr">
        <is>
          <t>SALDO NETO FINAL (Ingresos - Gastos - Ahorros)</t>
        </is>
      </c>
      <c r="B32" s="11" t="n"/>
      <c r="C32" s="16">
        <f>C8-C15-C22-C27</f>
        <v/>
      </c>
      <c r="D32" s="16">
        <f>D8-D15-D22-D27</f>
        <v/>
      </c>
      <c r="E32" s="17" t="n"/>
      <c r="F32" s="17" t="n"/>
    </row>
  </sheetData>
  <mergeCells count="4">
    <mergeCell ref="A26:F26"/>
    <mergeCell ref="A10:F10"/>
    <mergeCell ref="A18:F18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2026-05-28T23:14:47Z</dcterms:created>
  <dcterms:modified xmlns:dcterms="http://purl.org/dc/terms/" xmlns:xsi="http://www.w3.org/2001/XMLSchema-instance" xsi:type="dcterms:W3CDTF">2026-05-28T23:14:47Z</dcterms:modified>
</cp:coreProperties>
</file>